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Reports\"/>
    </mc:Choice>
  </mc:AlternateContent>
  <xr:revisionPtr revIDLastSave="0" documentId="13_ncr:1_{E390F980-CA72-45A5-849F-3BEE11CB8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Hits" sheetId="2" r:id="rId2"/>
    <sheet name="By Object" sheetId="3" r:id="rId3"/>
    <sheet name="By User" sheetId="4" r:id="rId4"/>
    <sheet name="Product Manager" sheetId="5" r:id="rId5"/>
  </sheets>
  <definedNames>
    <definedName name="_xlnm._FilterDatabase" localSheetId="2" hidden="1">'By Object'!$A$1:$F$22</definedName>
    <definedName name="_xlnm._FilterDatabase" localSheetId="3" hidden="1">'By User'!$A$1:$D$25</definedName>
    <definedName name="_xlnm._FilterDatabase" localSheetId="1" hidden="1">Hits!$A$1:$G$42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B15" i="1"/>
  <c r="B14" i="1"/>
  <c r="B13" i="1"/>
  <c r="B12" i="1"/>
  <c r="B11" i="1"/>
  <c r="B10" i="1"/>
  <c r="B8" i="1"/>
  <c r="B7" i="1"/>
  <c r="B6" i="1"/>
  <c r="B9" i="1" l="1"/>
</calcChain>
</file>

<file path=xl/sharedStrings.xml><?xml version="1.0" encoding="utf-8"?>
<sst xmlns="http://schemas.openxmlformats.org/spreadsheetml/2006/main" count="572" uniqueCount="178">
  <si>
    <t>Departed-user references in P21 SQL objects</t>
  </si>
  <si>
    <t>Scan run 2026-10-02 against the data warehouse (nightly restore of Prod). Found while working SA 56113 (Invoice Detail multi-manufacturer).</t>
  </si>
  <si>
    <t>Results</t>
  </si>
  <si>
    <t>Departed users checked (name has "** LEFT")</t>
  </si>
  <si>
    <t>Fixed number from the scan query</t>
  </si>
  <si>
    <t>Hits found (object + user pairs)</t>
  </si>
  <si>
    <t>...in live code</t>
  </si>
  <si>
    <t>Real references</t>
  </si>
  <si>
    <t>...in comments only</t>
  </si>
  <si>
    <t>False positives, e.g. CLYTHCKE in kb_fn_get_product_manager</t>
  </si>
  <si>
    <t>Objects with at least one live-code hit</t>
  </si>
  <si>
    <t>Objects with a hit, any kind</t>
  </si>
  <si>
    <t>Hits in kb_ objects</t>
  </si>
  <si>
    <t>Live code only</t>
  </si>
  <si>
    <t>Hits in bi_ objects</t>
  </si>
  <si>
    <t>Hits in js_ objects</t>
  </si>
  <si>
    <t>Hits in ds_ objects</t>
  </si>
  <si>
    <t>Hits in asi_ objects</t>
  </si>
  <si>
    <t>None found</t>
  </si>
  <si>
    <t>What stands out</t>
  </si>
  <si>
    <t>- Every live hit is in a kb_, js_, ds_ or bi_ object; none are in asi_ objects. Retiring or replacing the kb_/js_/ds_ objects clears most of them.</t>
  </si>
  <si>
    <t>- kb_fn_get_product_manager hardcodes departed users (TBASIC, GTHOMAS, KBENISH, BSPARKS). That is why 4 of 9 names in the Product Manager dropdown show "** LEFT **". See the Product Manager sheet.</t>
  </si>
  <si>
    <t>- The bi_view_user and bi_view_permissions_* views hardcode departed users in what looks like BI access logic - needs a look from whoever owns BI security.</t>
  </si>
  <si>
    <t>- KBENISH is the most common ID, in 9 objects (counting comments).</t>
  </si>
  <si>
    <t>Method and limits</t>
  </si>
  <si>
    <t>- Method: the IDs of the 450 users whose name has "** LEFT" were searched, as single-quoted strings, in every view, procedure and function definition. Each hit was then re-checked with SQL comments stripped.</t>
  </si>
  <si>
    <t>- Not covered: SSRS reports and shared datasets, portal files, alerts, business-rule settings, values stored in table rows, IDs built dynamically or matched with LIKE, users deleted but not marked "** LEFT" (e.g. KISKEN, PADMGR, SUPPLIESMGR).</t>
  </si>
  <si>
    <t>- A hit means the ID appears as text in the object. Each one still needs a human check that it is a user reference.</t>
  </si>
  <si>
    <t>- Source data is the data warehouse (restored nightly from Prod). The Hits sheet is the full list; By Object and By User are summaries of it.</t>
  </si>
  <si>
    <t>Object</t>
  </si>
  <si>
    <t>Type</t>
  </si>
  <si>
    <t>Prefix</t>
  </si>
  <si>
    <t>Departed user ID</t>
  </si>
  <si>
    <t>User name (as in P21)</t>
  </si>
  <si>
    <t>In live code?</t>
  </si>
  <si>
    <t>Where found</t>
  </si>
  <si>
    <t>bi_view_perm_customer_user</t>
  </si>
  <si>
    <t>View</t>
  </si>
  <si>
    <t>bi</t>
  </si>
  <si>
    <t>MLAMMERT</t>
  </si>
  <si>
    <t>** LEFT 07/2022 ** Maria Lammert</t>
  </si>
  <si>
    <t>Yes</t>
  </si>
  <si>
    <t>Live code</t>
  </si>
  <si>
    <t>bi_view_perm_key_user</t>
  </si>
  <si>
    <t>bi_view_perm_region</t>
  </si>
  <si>
    <t>KBENISH</t>
  </si>
  <si>
    <t>** LEFT 12/2024 ** Karen Benish</t>
  </si>
  <si>
    <t>bi_view_permissions_item</t>
  </si>
  <si>
    <t>CWOYTKO</t>
  </si>
  <si>
    <t>** LEFT 10/2024 ** Cheryl Woytko</t>
  </si>
  <si>
    <t>No</t>
  </si>
  <si>
    <t>Comment only (false positive)</t>
  </si>
  <si>
    <t>SROSENTHAL</t>
  </si>
  <si>
    <t>** LEFT 07/2026 ** Steve Rosenthal</t>
  </si>
  <si>
    <t>bi_view_permissions_location</t>
  </si>
  <si>
    <t>BCASE</t>
  </si>
  <si>
    <t>** LEFT 12/2025 ** Barry Case</t>
  </si>
  <si>
    <t>CLEACH</t>
  </si>
  <si>
    <t>** LEFT 03/2026 ** Craig Leach</t>
  </si>
  <si>
    <t>JGASPAR</t>
  </si>
  <si>
    <t>** LEFT 02/2025 ** Joe Gaspar</t>
  </si>
  <si>
    <t>RGERLACH</t>
  </si>
  <si>
    <t>** LEFT 03/2020 ** Rob Gerlach</t>
  </si>
  <si>
    <t>TBASIC</t>
  </si>
  <si>
    <t>** LEFT 01/2026 ** Tony Basic</t>
  </si>
  <si>
    <t>bi_view_user</t>
  </si>
  <si>
    <t>BJEPSEN</t>
  </si>
  <si>
    <t>** LEFT 11/2024 ** Barb Jepsen</t>
  </si>
  <si>
    <t>CSCHRUPP</t>
  </si>
  <si>
    <t>** LEFT 02/2025 ** Craig Schrupp</t>
  </si>
  <si>
    <t>ITDEPT</t>
  </si>
  <si>
    <t>** LEFT 12/2024 ** IT Dept (demo)</t>
  </si>
  <si>
    <t>JBINKLEY</t>
  </si>
  <si>
    <t>** LEFT 04/2021 ** Jill Binkley</t>
  </si>
  <si>
    <t>SHABEL</t>
  </si>
  <si>
    <t>** LEFT 10/2024 ** Scott Habel</t>
  </si>
  <si>
    <t>SHUTCHISON</t>
  </si>
  <si>
    <t>** LEFT 10/2024 ** Susan Hutchison</t>
  </si>
  <si>
    <t>ds_view_po_total</t>
  </si>
  <si>
    <t>ds</t>
  </si>
  <si>
    <t>TWARREN</t>
  </si>
  <si>
    <t>** LEFT 04/2017 ** LaTanja TangieWarren</t>
  </si>
  <si>
    <t>js_proc_is_b2b</t>
  </si>
  <si>
    <t>Stored Procedure</t>
  </si>
  <si>
    <t>js</t>
  </si>
  <si>
    <t>CCATALANO</t>
  </si>
  <si>
    <t>** Left 05/2024 ** Chris Catalano</t>
  </si>
  <si>
    <t>js_proc_string_fix</t>
  </si>
  <si>
    <t>js_view_contacts_update_temp</t>
  </si>
  <si>
    <t>JSAMUELS</t>
  </si>
  <si>
    <t>** LEFT 12/2023 ** Joe Samuels</t>
  </si>
  <si>
    <t>kb_fn_get_product_manager</t>
  </si>
  <si>
    <t>Scalar Function</t>
  </si>
  <si>
    <t>kb</t>
  </si>
  <si>
    <t>BSPARKS</t>
  </si>
  <si>
    <t>** LEFT 12/2025 ** Bill Sparks</t>
  </si>
  <si>
    <t>CLYTHCKE</t>
  </si>
  <si>
    <t>** LEFT 07/2022 ** Chris Lythcke</t>
  </si>
  <si>
    <t>GTHOMAS</t>
  </si>
  <si>
    <t>** LEFT 10/2024 ** Gordon Thomas</t>
  </si>
  <si>
    <t>kb_fnt_br_order_validator_v2</t>
  </si>
  <si>
    <t>Table Valued Function</t>
  </si>
  <si>
    <t>DIVERSON</t>
  </si>
  <si>
    <t>** LEFT 04/2025 ** DeAnna Iverson</t>
  </si>
  <si>
    <t>kb_fnt_br_validate_oo_block</t>
  </si>
  <si>
    <t>JWESTBY</t>
  </si>
  <si>
    <t>** LEFT 03/2025 ** James Westby</t>
  </si>
  <si>
    <t>kb_fnt_get_user_loc</t>
  </si>
  <si>
    <t>JTSAPRALIS</t>
  </si>
  <si>
    <t>** LEFT 04/2024 ** Jessica Tsapralis</t>
  </si>
  <si>
    <t>kb_proc_br_oe_sale_day</t>
  </si>
  <si>
    <t>kb_proc_commission_report_individual</t>
  </si>
  <si>
    <t>kb_proc_customer_contract_pricing_settings</t>
  </si>
  <si>
    <t>kb_proc_evaluate_dealer_type_pricing</t>
  </si>
  <si>
    <t>kb_proc_freight_charge_update</t>
  </si>
  <si>
    <t>kb_proc_price_page_change_mfg_class</t>
  </si>
  <si>
    <t>kb_proc_salesportals_enable</t>
  </si>
  <si>
    <t>Live departed-ID hits</t>
  </si>
  <si>
    <t>Comment-only hits</t>
  </si>
  <si>
    <t>Departed IDs in live code</t>
  </si>
  <si>
    <t>KBENISH, SROSENTHAL</t>
  </si>
  <si>
    <t>BCASE, CWOYTKO, RGERLACH, TBASIC</t>
  </si>
  <si>
    <t>BCASE, BJEPSEN, CSCHRUPP, ITDEPT, JBINKLEY, SHABEL, SHUTCHISON</t>
  </si>
  <si>
    <t>BSPARKS, GTHOMAS, KBENISH, TBASIC</t>
  </si>
  <si>
    <t>(none - comments only)</t>
  </si>
  <si>
    <t>Objects with live-code hit</t>
  </si>
  <si>
    <t>Objects (live code)</t>
  </si>
  <si>
    <t>bi_view_perm_region, bi_view_permissions_item, kb_fn_get_product_manager, kb_proc_br_oe_sale_day, kb_proc_customer_contract_pricing_settings, kb_proc_evaluate_dealer_type_pricing, kb_proc_freight_charge_update, kb_proc_salesportals_enable</t>
  </si>
  <si>
    <t>bi_view_permissions_location, kb_fn_get_product_manager, kb_fnt_get_user_loc</t>
  </si>
  <si>
    <t>bi_view_permissions_location, bi_view_user</t>
  </si>
  <si>
    <t>js_proc_is_b2b, js_proc_string_fix</t>
  </si>
  <si>
    <t>bi_view_perm_customer_user, bi_view_perm_key_user</t>
  </si>
  <si>
    <t>bi_view_permissions_item, kb_proc_commission_report_individual</t>
  </si>
  <si>
    <t>kb_fn_get_product_manager - user IDs the function returns (live code) and their P21 status</t>
  </si>
  <si>
    <t>Product manager ID</t>
  </si>
  <si>
    <t>Name in P21</t>
  </si>
  <si>
    <t>Delete flag</t>
  </si>
  <si>
    <t>In dropdown?</t>
  </si>
  <si>
    <t>Status</t>
  </si>
  <si>
    <t>What the function assigns (summary)</t>
  </si>
  <si>
    <t>Y</t>
  </si>
  <si>
    <t>Departed (marked LEFT)</t>
  </si>
  <si>
    <t>Board and hardware product groups, plus a number of manufacturers (DAP adhesive, tile/stone classes)</t>
  </si>
  <si>
    <t>Johnson Hardwood wood/laminate; GLW, PSF, MUL manufacturers</t>
  </si>
  <si>
    <t>Default when no rule matches (OCHARGE / blank product group, unlisted manufacturers, DRI)</t>
  </si>
  <si>
    <t>Counters, quartz, solid surface, sinks; AAA, IAC, SMG and other manufacturers</t>
  </si>
  <si>
    <t>ABOEVE</t>
  </si>
  <si>
    <t>Alex Boeve</t>
  </si>
  <si>
    <t>N</t>
  </si>
  <si>
    <t>Current</t>
  </si>
  <si>
    <t>TOOLS product group</t>
  </si>
  <si>
    <t>DJONES</t>
  </si>
  <si>
    <t>Davey (John) Jones</t>
  </si>
  <si>
    <t>TILE product group; a short list of manufacturers (AMT, BON, CBT, ...)</t>
  </si>
  <si>
    <t>JHAYDOCK</t>
  </si>
  <si>
    <t>Jennifer Haydock</t>
  </si>
  <si>
    <t>Laminate, sheet vinyl, carpet, vinyl tile; many manufacturers</t>
  </si>
  <si>
    <t>PADMGR</t>
  </si>
  <si>
    <t>Padding (Pat and Pete)</t>
  </si>
  <si>
    <t>Deleted in P21 (shared account)</t>
  </si>
  <si>
    <t>Pad product groups; CRO, FLX, MPG, DUR and similar</t>
  </si>
  <si>
    <t>SUPPLIESMGR</t>
  </si>
  <si>
    <t>Supplies (Chris Lythcke)</t>
  </si>
  <si>
    <t>Finished, install, powders, underlayment, resilient, base; many manufacturers</t>
  </si>
  <si>
    <t>PDUNDAS</t>
  </si>
  <si>
    <t>Pam Dundas</t>
  </si>
  <si>
    <t>Supplies-type product groups added 11/2023 (SUPNONIN, SELFLEV, SETTING, ...) - not in dropdown</t>
  </si>
  <si>
    <t>KISKEN</t>
  </si>
  <si>
    <t>** MISSPELLING ** Use KEVINI</t>
  </si>
  <si>
    <t>Misspelled / retired ID - should be replaced</t>
  </si>
  <si>
    <t>ACCESSOR product group - not in dropdown</t>
  </si>
  <si>
    <t>Notes</t>
  </si>
  <si>
    <t>Departed means the P21 user name carries the "** LEFT" marker.</t>
  </si>
  <si>
    <t>CLYTHCKE (left 07/2022) is NOT returned by the function. It appears only in a comment (--'CLYTHCKE') next to SUPPLIESMGR. The dropdown row "Supplies (Chris Lythcke)" is the SUPPLIESMGR account, which carries his name; SUPPLIESMGR itself is flagged deleted in P21.</t>
  </si>
  <si>
    <t>PADMGR and SUPPLIESMGR are shared accounts flagged deleted in P21 but still returned by the function and shown in the dropdown. Decide with Purchasing whether they stay as role accounts.</t>
  </si>
  <si>
    <t>KISKEN is a retired/misspelled ID ("Use KEVINI"). Items in the ACCESSOR product group map to it, so those items carry a deleted ID. It is not in the dropdown, which is built from sample items.</t>
  </si>
  <si>
    <t>The users.active column is N for everyone here, including current staff, so it was not used.</t>
  </si>
  <si>
    <t>Deciding who owns which items is a Purchasing decision; nothing here changes the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</si>
</sst>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808080"/>
      <name val="Arial"/>
    </font>
    <font>
      <b/>
      <sz val="12"/>
      <name val="Arial"/>
    </font>
    <font>
      <b/>
      <sz val="10"/>
      <color rgb="FFC00000"/>
      <name val="Arial"/>
    </font>
    <font>
      <b/>
      <sz val="10"/>
      <name val="Arial"/>
    </font>
    <font>
      <b/>
      <sz val="14"/>
      <name val="Arial"/>
    </font>
    <font>
      <sz val="10"/>
      <color rgb="FF0000FF"/>
      <name val="Arial"/>
    </font>
    <font>
      <sz val="10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/>
    <xf numFmtId="0" fontId="2" fillId="0" borderId="0" xfId="0" applyFont="1"/>
    <xf numFmtId="0" fontId="6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 x14ac:dyDescent="0.25"/>
  <cols>
    <col min="1" max="1" width="52" customWidth="1"/>
    <col min="2" max="2" width="14" customWidth="1"/>
    <col min="3" max="3" width="7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2" t="s">
        <v>3</v>
      </c>
      <c r="B5" s="4">
        <v>450</v>
      </c>
      <c r="C5" s="5" t="s">
        <v>4</v>
      </c>
    </row>
    <row r="6" spans="1:3" x14ac:dyDescent="0.25">
      <c r="A6" s="2" t="s">
        <v>5</v>
      </c>
      <c r="B6" s="6">
        <f>COUNTA(Hits!A2:A42)</f>
        <v>41</v>
      </c>
      <c r="C6" s="5"/>
    </row>
    <row r="7" spans="1:3" x14ac:dyDescent="0.25">
      <c r="A7" s="2" t="s">
        <v>6</v>
      </c>
      <c r="B7" s="6">
        <f>COUNTIF(Hits!F2:F42,"Yes")</f>
        <v>32</v>
      </c>
      <c r="C7" s="5" t="s">
        <v>7</v>
      </c>
    </row>
    <row r="8" spans="1:3" x14ac:dyDescent="0.25">
      <c r="A8" s="2" t="s">
        <v>8</v>
      </c>
      <c r="B8" s="6">
        <f>COUNTIF(Hits!F2:F42,"No")</f>
        <v>9</v>
      </c>
      <c r="C8" s="5" t="s">
        <v>9</v>
      </c>
    </row>
    <row r="9" spans="1:3" x14ac:dyDescent="0.25">
      <c r="A9" s="2" t="s">
        <v>10</v>
      </c>
      <c r="B9" s="6">
        <f>COUNTIF('By Object'!D2:D22,"&gt;0")</f>
        <v>19</v>
      </c>
      <c r="C9" s="5"/>
    </row>
    <row r="10" spans="1:3" x14ac:dyDescent="0.25">
      <c r="A10" s="2" t="s">
        <v>11</v>
      </c>
      <c r="B10" s="6">
        <f>COUNTA('By Object'!A2:A22)</f>
        <v>21</v>
      </c>
      <c r="C10" s="5"/>
    </row>
    <row r="11" spans="1:3" x14ac:dyDescent="0.25">
      <c r="A11" s="2" t="s">
        <v>12</v>
      </c>
      <c r="B11" s="6">
        <f>COUNTIFS(Hits!C2:C42,"kb",Hits!F2:F42,"Yes")</f>
        <v>12</v>
      </c>
      <c r="C11" s="5" t="s">
        <v>13</v>
      </c>
    </row>
    <row r="12" spans="1:3" x14ac:dyDescent="0.25">
      <c r="A12" s="2" t="s">
        <v>14</v>
      </c>
      <c r="B12" s="6">
        <f>COUNTIFS(Hits!C2:C42,"bi",Hits!F2:F42,"Yes")</f>
        <v>16</v>
      </c>
      <c r="C12" s="5" t="s">
        <v>13</v>
      </c>
    </row>
    <row r="13" spans="1:3" x14ac:dyDescent="0.25">
      <c r="A13" s="2" t="s">
        <v>15</v>
      </c>
      <c r="B13" s="6">
        <f>COUNTIFS(Hits!C2:C42,"js",Hits!F2:F42,"Yes")</f>
        <v>3</v>
      </c>
      <c r="C13" s="5" t="s">
        <v>13</v>
      </c>
    </row>
    <row r="14" spans="1:3" x14ac:dyDescent="0.25">
      <c r="A14" s="2" t="s">
        <v>16</v>
      </c>
      <c r="B14" s="6">
        <f>COUNTIFS(Hits!C2:C42,"ds",Hits!F2:F42,"Yes")</f>
        <v>1</v>
      </c>
      <c r="C14" s="5" t="s">
        <v>13</v>
      </c>
    </row>
    <row r="15" spans="1:3" x14ac:dyDescent="0.25">
      <c r="A15" s="2" t="s">
        <v>17</v>
      </c>
      <c r="B15" s="6">
        <f>COUNTIFS(Hits!C2:C42,"asi",Hits!F2:F42,"Yes")</f>
        <v>0</v>
      </c>
      <c r="C15" s="5" t="s">
        <v>18</v>
      </c>
    </row>
    <row r="17" spans="1:3" x14ac:dyDescent="0.25">
      <c r="A17" s="3" t="s">
        <v>19</v>
      </c>
    </row>
    <row r="18" spans="1:3" ht="30" customHeight="1" x14ac:dyDescent="0.25">
      <c r="A18" s="13" t="s">
        <v>20</v>
      </c>
      <c r="B18" s="14"/>
      <c r="C18" s="14"/>
    </row>
    <row r="19" spans="1:3" ht="30" customHeight="1" x14ac:dyDescent="0.25">
      <c r="A19" s="13" t="s">
        <v>21</v>
      </c>
      <c r="B19" s="14"/>
      <c r="C19" s="14"/>
    </row>
    <row r="20" spans="1:3" ht="30" customHeight="1" x14ac:dyDescent="0.25">
      <c r="A20" s="13" t="s">
        <v>22</v>
      </c>
      <c r="B20" s="14"/>
      <c r="C20" s="14"/>
    </row>
    <row r="21" spans="1:3" ht="30" customHeight="1" x14ac:dyDescent="0.25">
      <c r="A21" s="13" t="s">
        <v>23</v>
      </c>
      <c r="B21" s="14"/>
      <c r="C21" s="14"/>
    </row>
    <row r="23" spans="1:3" x14ac:dyDescent="0.25">
      <c r="A23" s="3" t="s">
        <v>24</v>
      </c>
    </row>
    <row r="24" spans="1:3" ht="44.1" customHeight="1" x14ac:dyDescent="0.25">
      <c r="A24" s="13" t="s">
        <v>25</v>
      </c>
      <c r="B24" s="14"/>
      <c r="C24" s="14"/>
    </row>
    <row r="25" spans="1:3" ht="44.1" customHeight="1" x14ac:dyDescent="0.25">
      <c r="A25" s="13" t="s">
        <v>26</v>
      </c>
      <c r="B25" s="14"/>
      <c r="C25" s="14"/>
    </row>
    <row r="26" spans="1:3" ht="44.1" customHeight="1" x14ac:dyDescent="0.25">
      <c r="A26" s="13" t="s">
        <v>27</v>
      </c>
      <c r="B26" s="14"/>
      <c r="C26" s="14"/>
    </row>
    <row r="27" spans="1:3" ht="44.1" customHeight="1" x14ac:dyDescent="0.25">
      <c r="A27" s="13" t="s">
        <v>28</v>
      </c>
      <c r="B27" s="14"/>
      <c r="C27" s="14"/>
    </row>
  </sheetData>
  <mergeCells count="8">
    <mergeCell ref="A25:C25"/>
    <mergeCell ref="A19:C19"/>
    <mergeCell ref="A18:C18"/>
    <mergeCell ref="A27:C27"/>
    <mergeCell ref="A21:C21"/>
    <mergeCell ref="A26:C26"/>
    <mergeCell ref="A20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2" customWidth="1"/>
    <col min="3" max="3" width="9" customWidth="1"/>
    <col min="4" max="4" width="18" customWidth="1"/>
    <col min="5" max="5" width="40" customWidth="1"/>
    <col min="6" max="6" width="13" customWidth="1"/>
    <col min="7" max="7" width="30" customWidth="1"/>
  </cols>
  <sheetData>
    <row r="1" spans="1:7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</row>
    <row r="2" spans="1:7" x14ac:dyDescent="0.25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</row>
    <row r="3" spans="1:7" x14ac:dyDescent="0.25">
      <c r="A3" s="8" t="s">
        <v>43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</row>
    <row r="4" spans="1:7" x14ac:dyDescent="0.25">
      <c r="A4" s="8" t="s">
        <v>44</v>
      </c>
      <c r="B4" s="8" t="s">
        <v>37</v>
      </c>
      <c r="C4" s="8" t="s">
        <v>38</v>
      </c>
      <c r="D4" s="8" t="s">
        <v>45</v>
      </c>
      <c r="E4" s="8" t="s">
        <v>46</v>
      </c>
      <c r="F4" s="8" t="s">
        <v>41</v>
      </c>
      <c r="G4" s="8" t="s">
        <v>42</v>
      </c>
    </row>
    <row r="5" spans="1:7" x14ac:dyDescent="0.25">
      <c r="A5" s="9" t="s">
        <v>47</v>
      </c>
      <c r="B5" s="9" t="s">
        <v>37</v>
      </c>
      <c r="C5" s="9" t="s">
        <v>38</v>
      </c>
      <c r="D5" s="9" t="s">
        <v>48</v>
      </c>
      <c r="E5" s="9" t="s">
        <v>49</v>
      </c>
      <c r="F5" s="9" t="s">
        <v>50</v>
      </c>
      <c r="G5" s="9" t="s">
        <v>51</v>
      </c>
    </row>
    <row r="6" spans="1:7" x14ac:dyDescent="0.25">
      <c r="A6" s="8" t="s">
        <v>47</v>
      </c>
      <c r="B6" s="8" t="s">
        <v>37</v>
      </c>
      <c r="C6" s="8" t="s">
        <v>38</v>
      </c>
      <c r="D6" s="8" t="s">
        <v>45</v>
      </c>
      <c r="E6" s="8" t="s">
        <v>46</v>
      </c>
      <c r="F6" s="8" t="s">
        <v>41</v>
      </c>
      <c r="G6" s="8" t="s">
        <v>42</v>
      </c>
    </row>
    <row r="7" spans="1:7" x14ac:dyDescent="0.25">
      <c r="A7" s="8" t="s">
        <v>47</v>
      </c>
      <c r="B7" s="8" t="s">
        <v>37</v>
      </c>
      <c r="C7" s="8" t="s">
        <v>38</v>
      </c>
      <c r="D7" s="8" t="s">
        <v>52</v>
      </c>
      <c r="E7" s="8" t="s">
        <v>53</v>
      </c>
      <c r="F7" s="8" t="s">
        <v>41</v>
      </c>
      <c r="G7" s="8" t="s">
        <v>42</v>
      </c>
    </row>
    <row r="8" spans="1:7" x14ac:dyDescent="0.25">
      <c r="A8" s="8" t="s">
        <v>54</v>
      </c>
      <c r="B8" s="8" t="s">
        <v>37</v>
      </c>
      <c r="C8" s="8" t="s">
        <v>38</v>
      </c>
      <c r="D8" s="8" t="s">
        <v>55</v>
      </c>
      <c r="E8" s="8" t="s">
        <v>56</v>
      </c>
      <c r="F8" s="8" t="s">
        <v>41</v>
      </c>
      <c r="G8" s="8" t="s">
        <v>42</v>
      </c>
    </row>
    <row r="9" spans="1:7" x14ac:dyDescent="0.25">
      <c r="A9" s="9" t="s">
        <v>54</v>
      </c>
      <c r="B9" s="9" t="s">
        <v>37</v>
      </c>
      <c r="C9" s="9" t="s">
        <v>38</v>
      </c>
      <c r="D9" s="9" t="s">
        <v>57</v>
      </c>
      <c r="E9" s="9" t="s">
        <v>58</v>
      </c>
      <c r="F9" s="9" t="s">
        <v>50</v>
      </c>
      <c r="G9" s="9" t="s">
        <v>51</v>
      </c>
    </row>
    <row r="10" spans="1:7" x14ac:dyDescent="0.25">
      <c r="A10" s="8" t="s">
        <v>54</v>
      </c>
      <c r="B10" s="8" t="s">
        <v>37</v>
      </c>
      <c r="C10" s="8" t="s">
        <v>38</v>
      </c>
      <c r="D10" s="8" t="s">
        <v>48</v>
      </c>
      <c r="E10" s="8" t="s">
        <v>49</v>
      </c>
      <c r="F10" s="8" t="s">
        <v>41</v>
      </c>
      <c r="G10" s="8" t="s">
        <v>42</v>
      </c>
    </row>
    <row r="11" spans="1:7" x14ac:dyDescent="0.25">
      <c r="A11" s="9" t="s">
        <v>54</v>
      </c>
      <c r="B11" s="9" t="s">
        <v>37</v>
      </c>
      <c r="C11" s="9" t="s">
        <v>38</v>
      </c>
      <c r="D11" s="9" t="s">
        <v>59</v>
      </c>
      <c r="E11" s="9" t="s">
        <v>60</v>
      </c>
      <c r="F11" s="9" t="s">
        <v>50</v>
      </c>
      <c r="G11" s="9" t="s">
        <v>51</v>
      </c>
    </row>
    <row r="12" spans="1:7" x14ac:dyDescent="0.25">
      <c r="A12" s="8" t="s">
        <v>54</v>
      </c>
      <c r="B12" s="8" t="s">
        <v>37</v>
      </c>
      <c r="C12" s="8" t="s">
        <v>38</v>
      </c>
      <c r="D12" s="8" t="s">
        <v>61</v>
      </c>
      <c r="E12" s="8" t="s">
        <v>62</v>
      </c>
      <c r="F12" s="8" t="s">
        <v>41</v>
      </c>
      <c r="G12" s="8" t="s">
        <v>42</v>
      </c>
    </row>
    <row r="13" spans="1:7" x14ac:dyDescent="0.25">
      <c r="A13" s="8" t="s">
        <v>54</v>
      </c>
      <c r="B13" s="8" t="s">
        <v>37</v>
      </c>
      <c r="C13" s="8" t="s">
        <v>38</v>
      </c>
      <c r="D13" s="8" t="s">
        <v>63</v>
      </c>
      <c r="E13" s="8" t="s">
        <v>64</v>
      </c>
      <c r="F13" s="8" t="s">
        <v>41</v>
      </c>
      <c r="G13" s="8" t="s">
        <v>42</v>
      </c>
    </row>
    <row r="14" spans="1:7" x14ac:dyDescent="0.25">
      <c r="A14" s="8" t="s">
        <v>65</v>
      </c>
      <c r="B14" s="8" t="s">
        <v>37</v>
      </c>
      <c r="C14" s="8" t="s">
        <v>38</v>
      </c>
      <c r="D14" s="8" t="s">
        <v>55</v>
      </c>
      <c r="E14" s="8" t="s">
        <v>56</v>
      </c>
      <c r="F14" s="8" t="s">
        <v>41</v>
      </c>
      <c r="G14" s="8" t="s">
        <v>42</v>
      </c>
    </row>
    <row r="15" spans="1:7" x14ac:dyDescent="0.25">
      <c r="A15" s="8" t="s">
        <v>65</v>
      </c>
      <c r="B15" s="8" t="s">
        <v>37</v>
      </c>
      <c r="C15" s="8" t="s">
        <v>38</v>
      </c>
      <c r="D15" s="8" t="s">
        <v>66</v>
      </c>
      <c r="E15" s="8" t="s">
        <v>67</v>
      </c>
      <c r="F15" s="8" t="s">
        <v>41</v>
      </c>
      <c r="G15" s="8" t="s">
        <v>42</v>
      </c>
    </row>
    <row r="16" spans="1:7" x14ac:dyDescent="0.25">
      <c r="A16" s="8" t="s">
        <v>65</v>
      </c>
      <c r="B16" s="8" t="s">
        <v>37</v>
      </c>
      <c r="C16" s="8" t="s">
        <v>38</v>
      </c>
      <c r="D16" s="8" t="s">
        <v>68</v>
      </c>
      <c r="E16" s="8" t="s">
        <v>69</v>
      </c>
      <c r="F16" s="8" t="s">
        <v>41</v>
      </c>
      <c r="G16" s="8" t="s">
        <v>42</v>
      </c>
    </row>
    <row r="17" spans="1:7" x14ac:dyDescent="0.25">
      <c r="A17" s="8" t="s">
        <v>65</v>
      </c>
      <c r="B17" s="8" t="s">
        <v>37</v>
      </c>
      <c r="C17" s="8" t="s">
        <v>38</v>
      </c>
      <c r="D17" s="8" t="s">
        <v>70</v>
      </c>
      <c r="E17" s="8" t="s">
        <v>71</v>
      </c>
      <c r="F17" s="8" t="s">
        <v>41</v>
      </c>
      <c r="G17" s="8" t="s">
        <v>42</v>
      </c>
    </row>
    <row r="18" spans="1:7" x14ac:dyDescent="0.25">
      <c r="A18" s="8" t="s">
        <v>65</v>
      </c>
      <c r="B18" s="8" t="s">
        <v>37</v>
      </c>
      <c r="C18" s="8" t="s">
        <v>38</v>
      </c>
      <c r="D18" s="8" t="s">
        <v>72</v>
      </c>
      <c r="E18" s="8" t="s">
        <v>73</v>
      </c>
      <c r="F18" s="8" t="s">
        <v>41</v>
      </c>
      <c r="G18" s="8" t="s">
        <v>42</v>
      </c>
    </row>
    <row r="19" spans="1:7" x14ac:dyDescent="0.25">
      <c r="A19" s="8" t="s">
        <v>65</v>
      </c>
      <c r="B19" s="8" t="s">
        <v>37</v>
      </c>
      <c r="C19" s="8" t="s">
        <v>38</v>
      </c>
      <c r="D19" s="8" t="s">
        <v>74</v>
      </c>
      <c r="E19" s="8" t="s">
        <v>75</v>
      </c>
      <c r="F19" s="8" t="s">
        <v>41</v>
      </c>
      <c r="G19" s="8" t="s">
        <v>42</v>
      </c>
    </row>
    <row r="20" spans="1:7" x14ac:dyDescent="0.25">
      <c r="A20" s="8" t="s">
        <v>65</v>
      </c>
      <c r="B20" s="8" t="s">
        <v>37</v>
      </c>
      <c r="C20" s="8" t="s">
        <v>38</v>
      </c>
      <c r="D20" s="8" t="s">
        <v>76</v>
      </c>
      <c r="E20" s="8" t="s">
        <v>77</v>
      </c>
      <c r="F20" s="8" t="s">
        <v>41</v>
      </c>
      <c r="G20" s="8" t="s">
        <v>42</v>
      </c>
    </row>
    <row r="21" spans="1:7" x14ac:dyDescent="0.25">
      <c r="A21" s="8" t="s">
        <v>78</v>
      </c>
      <c r="B21" s="8" t="s">
        <v>37</v>
      </c>
      <c r="C21" s="8" t="s">
        <v>79</v>
      </c>
      <c r="D21" s="8" t="s">
        <v>80</v>
      </c>
      <c r="E21" s="8" t="s">
        <v>81</v>
      </c>
      <c r="F21" s="8" t="s">
        <v>41</v>
      </c>
      <c r="G21" s="8" t="s">
        <v>42</v>
      </c>
    </row>
    <row r="22" spans="1:7" x14ac:dyDescent="0.25">
      <c r="A22" s="8" t="s">
        <v>82</v>
      </c>
      <c r="B22" s="8" t="s">
        <v>83</v>
      </c>
      <c r="C22" s="8" t="s">
        <v>84</v>
      </c>
      <c r="D22" s="8" t="s">
        <v>85</v>
      </c>
      <c r="E22" s="8" t="s">
        <v>86</v>
      </c>
      <c r="F22" s="8" t="s">
        <v>41</v>
      </c>
      <c r="G22" s="8" t="s">
        <v>42</v>
      </c>
    </row>
    <row r="23" spans="1:7" x14ac:dyDescent="0.25">
      <c r="A23" s="8" t="s">
        <v>87</v>
      </c>
      <c r="B23" s="8" t="s">
        <v>83</v>
      </c>
      <c r="C23" s="8" t="s">
        <v>84</v>
      </c>
      <c r="D23" s="8" t="s">
        <v>85</v>
      </c>
      <c r="E23" s="8" t="s">
        <v>86</v>
      </c>
      <c r="F23" s="8" t="s">
        <v>41</v>
      </c>
      <c r="G23" s="8" t="s">
        <v>42</v>
      </c>
    </row>
    <row r="24" spans="1:7" x14ac:dyDescent="0.25">
      <c r="A24" s="8" t="s">
        <v>88</v>
      </c>
      <c r="B24" s="8" t="s">
        <v>37</v>
      </c>
      <c r="C24" s="8" t="s">
        <v>84</v>
      </c>
      <c r="D24" s="8" t="s">
        <v>89</v>
      </c>
      <c r="E24" s="8" t="s">
        <v>90</v>
      </c>
      <c r="F24" s="8" t="s">
        <v>41</v>
      </c>
      <c r="G24" s="8" t="s">
        <v>42</v>
      </c>
    </row>
    <row r="25" spans="1:7" x14ac:dyDescent="0.25">
      <c r="A25" s="8" t="s">
        <v>91</v>
      </c>
      <c r="B25" s="8" t="s">
        <v>92</v>
      </c>
      <c r="C25" s="8" t="s">
        <v>93</v>
      </c>
      <c r="D25" s="8" t="s">
        <v>94</v>
      </c>
      <c r="E25" s="8" t="s">
        <v>95</v>
      </c>
      <c r="F25" s="8" t="s">
        <v>41</v>
      </c>
      <c r="G25" s="8" t="s">
        <v>42</v>
      </c>
    </row>
    <row r="26" spans="1:7" x14ac:dyDescent="0.25">
      <c r="A26" s="9" t="s">
        <v>91</v>
      </c>
      <c r="B26" s="9" t="s">
        <v>92</v>
      </c>
      <c r="C26" s="9" t="s">
        <v>93</v>
      </c>
      <c r="D26" s="9" t="s">
        <v>96</v>
      </c>
      <c r="E26" s="9" t="s">
        <v>97</v>
      </c>
      <c r="F26" s="9" t="s">
        <v>50</v>
      </c>
      <c r="G26" s="9" t="s">
        <v>51</v>
      </c>
    </row>
    <row r="27" spans="1:7" x14ac:dyDescent="0.25">
      <c r="A27" s="8" t="s">
        <v>91</v>
      </c>
      <c r="B27" s="8" t="s">
        <v>92</v>
      </c>
      <c r="C27" s="8" t="s">
        <v>93</v>
      </c>
      <c r="D27" s="8" t="s">
        <v>98</v>
      </c>
      <c r="E27" s="8" t="s">
        <v>99</v>
      </c>
      <c r="F27" s="8" t="s">
        <v>41</v>
      </c>
      <c r="G27" s="8" t="s">
        <v>42</v>
      </c>
    </row>
    <row r="28" spans="1:7" x14ac:dyDescent="0.25">
      <c r="A28" s="8" t="s">
        <v>91</v>
      </c>
      <c r="B28" s="8" t="s">
        <v>92</v>
      </c>
      <c r="C28" s="8" t="s">
        <v>93</v>
      </c>
      <c r="D28" s="8" t="s">
        <v>45</v>
      </c>
      <c r="E28" s="8" t="s">
        <v>46</v>
      </c>
      <c r="F28" s="8" t="s">
        <v>41</v>
      </c>
      <c r="G28" s="8" t="s">
        <v>42</v>
      </c>
    </row>
    <row r="29" spans="1:7" x14ac:dyDescent="0.25">
      <c r="A29" s="8" t="s">
        <v>91</v>
      </c>
      <c r="B29" s="8" t="s">
        <v>92</v>
      </c>
      <c r="C29" s="8" t="s">
        <v>93</v>
      </c>
      <c r="D29" s="8" t="s">
        <v>63</v>
      </c>
      <c r="E29" s="8" t="s">
        <v>64</v>
      </c>
      <c r="F29" s="8" t="s">
        <v>41</v>
      </c>
      <c r="G29" s="8" t="s">
        <v>42</v>
      </c>
    </row>
    <row r="30" spans="1:7" x14ac:dyDescent="0.25">
      <c r="A30" s="9" t="s">
        <v>100</v>
      </c>
      <c r="B30" s="9" t="s">
        <v>101</v>
      </c>
      <c r="C30" s="9" t="s">
        <v>93</v>
      </c>
      <c r="D30" s="9" t="s">
        <v>102</v>
      </c>
      <c r="E30" s="9" t="s">
        <v>103</v>
      </c>
      <c r="F30" s="9" t="s">
        <v>50</v>
      </c>
      <c r="G30" s="9" t="s">
        <v>51</v>
      </c>
    </row>
    <row r="31" spans="1:7" x14ac:dyDescent="0.25">
      <c r="A31" s="8" t="s">
        <v>104</v>
      </c>
      <c r="B31" s="8" t="s">
        <v>101</v>
      </c>
      <c r="C31" s="8" t="s">
        <v>93</v>
      </c>
      <c r="D31" s="8" t="s">
        <v>105</v>
      </c>
      <c r="E31" s="8" t="s">
        <v>106</v>
      </c>
      <c r="F31" s="8" t="s">
        <v>41</v>
      </c>
      <c r="G31" s="8" t="s">
        <v>42</v>
      </c>
    </row>
    <row r="32" spans="1:7" x14ac:dyDescent="0.25">
      <c r="A32" s="9" t="s">
        <v>107</v>
      </c>
      <c r="B32" s="9" t="s">
        <v>101</v>
      </c>
      <c r="C32" s="9" t="s">
        <v>93</v>
      </c>
      <c r="D32" s="9" t="s">
        <v>57</v>
      </c>
      <c r="E32" s="9" t="s">
        <v>58</v>
      </c>
      <c r="F32" s="9" t="s">
        <v>50</v>
      </c>
      <c r="G32" s="9" t="s">
        <v>51</v>
      </c>
    </row>
    <row r="33" spans="1:7" x14ac:dyDescent="0.25">
      <c r="A33" s="9" t="s">
        <v>107</v>
      </c>
      <c r="B33" s="9" t="s">
        <v>101</v>
      </c>
      <c r="C33" s="9" t="s">
        <v>93</v>
      </c>
      <c r="D33" s="9" t="s">
        <v>59</v>
      </c>
      <c r="E33" s="9" t="s">
        <v>60</v>
      </c>
      <c r="F33" s="9" t="s">
        <v>50</v>
      </c>
      <c r="G33" s="9" t="s">
        <v>51</v>
      </c>
    </row>
    <row r="34" spans="1:7" x14ac:dyDescent="0.25">
      <c r="A34" s="9" t="s">
        <v>107</v>
      </c>
      <c r="B34" s="9" t="s">
        <v>101</v>
      </c>
      <c r="C34" s="9" t="s">
        <v>93</v>
      </c>
      <c r="D34" s="9" t="s">
        <v>108</v>
      </c>
      <c r="E34" s="9" t="s">
        <v>109</v>
      </c>
      <c r="F34" s="9" t="s">
        <v>50</v>
      </c>
      <c r="G34" s="9" t="s">
        <v>51</v>
      </c>
    </row>
    <row r="35" spans="1:7" x14ac:dyDescent="0.25">
      <c r="A35" s="8" t="s">
        <v>107</v>
      </c>
      <c r="B35" s="8" t="s">
        <v>101</v>
      </c>
      <c r="C35" s="8" t="s">
        <v>93</v>
      </c>
      <c r="D35" s="8" t="s">
        <v>63</v>
      </c>
      <c r="E35" s="8" t="s">
        <v>64</v>
      </c>
      <c r="F35" s="8" t="s">
        <v>41</v>
      </c>
      <c r="G35" s="8" t="s">
        <v>42</v>
      </c>
    </row>
    <row r="36" spans="1:7" x14ac:dyDescent="0.25">
      <c r="A36" s="8" t="s">
        <v>110</v>
      </c>
      <c r="B36" s="8" t="s">
        <v>83</v>
      </c>
      <c r="C36" s="8" t="s">
        <v>93</v>
      </c>
      <c r="D36" s="8" t="s">
        <v>45</v>
      </c>
      <c r="E36" s="8" t="s">
        <v>46</v>
      </c>
      <c r="F36" s="8" t="s">
        <v>41</v>
      </c>
      <c r="G36" s="8" t="s">
        <v>42</v>
      </c>
    </row>
    <row r="37" spans="1:7" x14ac:dyDescent="0.25">
      <c r="A37" s="8" t="s">
        <v>111</v>
      </c>
      <c r="B37" s="8" t="s">
        <v>83</v>
      </c>
      <c r="C37" s="8" t="s">
        <v>93</v>
      </c>
      <c r="D37" s="8" t="s">
        <v>52</v>
      </c>
      <c r="E37" s="8" t="s">
        <v>53</v>
      </c>
      <c r="F37" s="8" t="s">
        <v>41</v>
      </c>
      <c r="G37" s="8" t="s">
        <v>42</v>
      </c>
    </row>
    <row r="38" spans="1:7" x14ac:dyDescent="0.25">
      <c r="A38" s="8" t="s">
        <v>112</v>
      </c>
      <c r="B38" s="8" t="s">
        <v>83</v>
      </c>
      <c r="C38" s="8" t="s">
        <v>93</v>
      </c>
      <c r="D38" s="8" t="s">
        <v>45</v>
      </c>
      <c r="E38" s="8" t="s">
        <v>46</v>
      </c>
      <c r="F38" s="8" t="s">
        <v>41</v>
      </c>
      <c r="G38" s="8" t="s">
        <v>42</v>
      </c>
    </row>
    <row r="39" spans="1:7" x14ac:dyDescent="0.25">
      <c r="A39" s="8" t="s">
        <v>113</v>
      </c>
      <c r="B39" s="8" t="s">
        <v>83</v>
      </c>
      <c r="C39" s="8" t="s">
        <v>93</v>
      </c>
      <c r="D39" s="8" t="s">
        <v>45</v>
      </c>
      <c r="E39" s="8" t="s">
        <v>46</v>
      </c>
      <c r="F39" s="8" t="s">
        <v>41</v>
      </c>
      <c r="G39" s="8" t="s">
        <v>42</v>
      </c>
    </row>
    <row r="40" spans="1:7" x14ac:dyDescent="0.25">
      <c r="A40" s="8" t="s">
        <v>114</v>
      </c>
      <c r="B40" s="8" t="s">
        <v>83</v>
      </c>
      <c r="C40" s="8" t="s">
        <v>93</v>
      </c>
      <c r="D40" s="8" t="s">
        <v>45</v>
      </c>
      <c r="E40" s="8" t="s">
        <v>46</v>
      </c>
      <c r="F40" s="8" t="s">
        <v>41</v>
      </c>
      <c r="G40" s="8" t="s">
        <v>42</v>
      </c>
    </row>
    <row r="41" spans="1:7" x14ac:dyDescent="0.25">
      <c r="A41" s="9" t="s">
        <v>115</v>
      </c>
      <c r="B41" s="9" t="s">
        <v>83</v>
      </c>
      <c r="C41" s="9" t="s">
        <v>93</v>
      </c>
      <c r="D41" s="9" t="s">
        <v>45</v>
      </c>
      <c r="E41" s="9" t="s">
        <v>46</v>
      </c>
      <c r="F41" s="9" t="s">
        <v>50</v>
      </c>
      <c r="G41" s="9" t="s">
        <v>51</v>
      </c>
    </row>
    <row r="42" spans="1:7" x14ac:dyDescent="0.25">
      <c r="A42" s="8" t="s">
        <v>116</v>
      </c>
      <c r="B42" s="8" t="s">
        <v>83</v>
      </c>
      <c r="C42" s="8" t="s">
        <v>93</v>
      </c>
      <c r="D42" s="8" t="s">
        <v>45</v>
      </c>
      <c r="E42" s="8" t="s">
        <v>46</v>
      </c>
      <c r="F42" s="8" t="s">
        <v>41</v>
      </c>
      <c r="G42" s="8" t="s">
        <v>42</v>
      </c>
    </row>
  </sheetData>
  <autoFilter ref="A1:G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2" customWidth="1"/>
    <col min="3" max="3" width="9" customWidth="1"/>
    <col min="4" max="5" width="14" customWidth="1"/>
    <col min="6" max="6" width="60" customWidth="1"/>
  </cols>
  <sheetData>
    <row r="1" spans="1:6" ht="25.5" x14ac:dyDescent="0.25">
      <c r="A1" s="7" t="s">
        <v>29</v>
      </c>
      <c r="B1" s="7" t="s">
        <v>30</v>
      </c>
      <c r="C1" s="7" t="s">
        <v>31</v>
      </c>
      <c r="D1" s="7" t="s">
        <v>117</v>
      </c>
      <c r="E1" s="7" t="s">
        <v>118</v>
      </c>
      <c r="F1" s="7" t="s">
        <v>119</v>
      </c>
    </row>
    <row r="2" spans="1:6" x14ac:dyDescent="0.25">
      <c r="A2" s="8" t="s">
        <v>36</v>
      </c>
      <c r="B2" s="8" t="s">
        <v>37</v>
      </c>
      <c r="C2" s="8" t="s">
        <v>38</v>
      </c>
      <c r="D2" s="8">
        <f>COUNTIFS(Hits!$A$2:$A$42,$A2,Hits!$F$2:$F$42,"Yes")</f>
        <v>1</v>
      </c>
      <c r="E2" s="8">
        <f>COUNTIFS(Hits!$A$2:$A$42,$A2,Hits!$F$2:$F$42,"No")</f>
        <v>0</v>
      </c>
      <c r="F2" s="10" t="s">
        <v>39</v>
      </c>
    </row>
    <row r="3" spans="1:6" x14ac:dyDescent="0.25">
      <c r="A3" s="8" t="s">
        <v>43</v>
      </c>
      <c r="B3" s="8" t="s">
        <v>37</v>
      </c>
      <c r="C3" s="8" t="s">
        <v>38</v>
      </c>
      <c r="D3" s="8">
        <f>COUNTIFS(Hits!$A$2:$A$42,$A3,Hits!$F$2:$F$42,"Yes")</f>
        <v>1</v>
      </c>
      <c r="E3" s="8">
        <f>COUNTIFS(Hits!$A$2:$A$42,$A3,Hits!$F$2:$F$42,"No")</f>
        <v>0</v>
      </c>
      <c r="F3" s="10" t="s">
        <v>39</v>
      </c>
    </row>
    <row r="4" spans="1:6" x14ac:dyDescent="0.25">
      <c r="A4" s="8" t="s">
        <v>44</v>
      </c>
      <c r="B4" s="8" t="s">
        <v>37</v>
      </c>
      <c r="C4" s="8" t="s">
        <v>38</v>
      </c>
      <c r="D4" s="8">
        <f>COUNTIFS(Hits!$A$2:$A$42,$A4,Hits!$F$2:$F$42,"Yes")</f>
        <v>1</v>
      </c>
      <c r="E4" s="8">
        <f>COUNTIFS(Hits!$A$2:$A$42,$A4,Hits!$F$2:$F$42,"No")</f>
        <v>0</v>
      </c>
      <c r="F4" s="10" t="s">
        <v>45</v>
      </c>
    </row>
    <row r="5" spans="1:6" x14ac:dyDescent="0.25">
      <c r="A5" s="8" t="s">
        <v>47</v>
      </c>
      <c r="B5" s="8" t="s">
        <v>37</v>
      </c>
      <c r="C5" s="8" t="s">
        <v>38</v>
      </c>
      <c r="D5" s="8">
        <f>COUNTIFS(Hits!$A$2:$A$42,$A5,Hits!$F$2:$F$42,"Yes")</f>
        <v>2</v>
      </c>
      <c r="E5" s="8">
        <f>COUNTIFS(Hits!$A$2:$A$42,$A5,Hits!$F$2:$F$42,"No")</f>
        <v>1</v>
      </c>
      <c r="F5" s="10" t="s">
        <v>120</v>
      </c>
    </row>
    <row r="6" spans="1:6" x14ac:dyDescent="0.25">
      <c r="A6" s="8" t="s">
        <v>54</v>
      </c>
      <c r="B6" s="8" t="s">
        <v>37</v>
      </c>
      <c r="C6" s="8" t="s">
        <v>38</v>
      </c>
      <c r="D6" s="8">
        <f>COUNTIFS(Hits!$A$2:$A$42,$A6,Hits!$F$2:$F$42,"Yes")</f>
        <v>4</v>
      </c>
      <c r="E6" s="8">
        <f>COUNTIFS(Hits!$A$2:$A$42,$A6,Hits!$F$2:$F$42,"No")</f>
        <v>2</v>
      </c>
      <c r="F6" s="10" t="s">
        <v>121</v>
      </c>
    </row>
    <row r="7" spans="1:6" ht="25.5" x14ac:dyDescent="0.25">
      <c r="A7" s="8" t="s">
        <v>65</v>
      </c>
      <c r="B7" s="8" t="s">
        <v>37</v>
      </c>
      <c r="C7" s="8" t="s">
        <v>38</v>
      </c>
      <c r="D7" s="8">
        <f>COUNTIFS(Hits!$A$2:$A$42,$A7,Hits!$F$2:$F$42,"Yes")</f>
        <v>7</v>
      </c>
      <c r="E7" s="8">
        <f>COUNTIFS(Hits!$A$2:$A$42,$A7,Hits!$F$2:$F$42,"No")</f>
        <v>0</v>
      </c>
      <c r="F7" s="10" t="s">
        <v>122</v>
      </c>
    </row>
    <row r="8" spans="1:6" x14ac:dyDescent="0.25">
      <c r="A8" s="8" t="s">
        <v>78</v>
      </c>
      <c r="B8" s="8" t="s">
        <v>37</v>
      </c>
      <c r="C8" s="8" t="s">
        <v>79</v>
      </c>
      <c r="D8" s="8">
        <f>COUNTIFS(Hits!$A$2:$A$42,$A8,Hits!$F$2:$F$42,"Yes")</f>
        <v>1</v>
      </c>
      <c r="E8" s="8">
        <f>COUNTIFS(Hits!$A$2:$A$42,$A8,Hits!$F$2:$F$42,"No")</f>
        <v>0</v>
      </c>
      <c r="F8" s="10" t="s">
        <v>80</v>
      </c>
    </row>
    <row r="9" spans="1:6" x14ac:dyDescent="0.25">
      <c r="A9" s="8" t="s">
        <v>82</v>
      </c>
      <c r="B9" s="8" t="s">
        <v>83</v>
      </c>
      <c r="C9" s="8" t="s">
        <v>84</v>
      </c>
      <c r="D9" s="8">
        <f>COUNTIFS(Hits!$A$2:$A$42,$A9,Hits!$F$2:$F$42,"Yes")</f>
        <v>1</v>
      </c>
      <c r="E9" s="8">
        <f>COUNTIFS(Hits!$A$2:$A$42,$A9,Hits!$F$2:$F$42,"No")</f>
        <v>0</v>
      </c>
      <c r="F9" s="10" t="s">
        <v>85</v>
      </c>
    </row>
    <row r="10" spans="1:6" x14ac:dyDescent="0.25">
      <c r="A10" s="8" t="s">
        <v>87</v>
      </c>
      <c r="B10" s="8" t="s">
        <v>83</v>
      </c>
      <c r="C10" s="8" t="s">
        <v>84</v>
      </c>
      <c r="D10" s="8">
        <f>COUNTIFS(Hits!$A$2:$A$42,$A10,Hits!$F$2:$F$42,"Yes")</f>
        <v>1</v>
      </c>
      <c r="E10" s="8">
        <f>COUNTIFS(Hits!$A$2:$A$42,$A10,Hits!$F$2:$F$42,"No")</f>
        <v>0</v>
      </c>
      <c r="F10" s="10" t="s">
        <v>85</v>
      </c>
    </row>
    <row r="11" spans="1:6" x14ac:dyDescent="0.25">
      <c r="A11" s="8" t="s">
        <v>88</v>
      </c>
      <c r="B11" s="8" t="s">
        <v>37</v>
      </c>
      <c r="C11" s="8" t="s">
        <v>84</v>
      </c>
      <c r="D11" s="8">
        <f>COUNTIFS(Hits!$A$2:$A$42,$A11,Hits!$F$2:$F$42,"Yes")</f>
        <v>1</v>
      </c>
      <c r="E11" s="8">
        <f>COUNTIFS(Hits!$A$2:$A$42,$A11,Hits!$F$2:$F$42,"No")</f>
        <v>0</v>
      </c>
      <c r="F11" s="10" t="s">
        <v>89</v>
      </c>
    </row>
    <row r="12" spans="1:6" x14ac:dyDescent="0.25">
      <c r="A12" s="8" t="s">
        <v>91</v>
      </c>
      <c r="B12" s="8" t="s">
        <v>92</v>
      </c>
      <c r="C12" s="8" t="s">
        <v>93</v>
      </c>
      <c r="D12" s="8">
        <f>COUNTIFS(Hits!$A$2:$A$42,$A12,Hits!$F$2:$F$42,"Yes")</f>
        <v>4</v>
      </c>
      <c r="E12" s="8">
        <f>COUNTIFS(Hits!$A$2:$A$42,$A12,Hits!$F$2:$F$42,"No")</f>
        <v>1</v>
      </c>
      <c r="F12" s="10" t="s">
        <v>123</v>
      </c>
    </row>
    <row r="13" spans="1:6" x14ac:dyDescent="0.25">
      <c r="A13" s="8" t="s">
        <v>100</v>
      </c>
      <c r="B13" s="8" t="s">
        <v>101</v>
      </c>
      <c r="C13" s="8" t="s">
        <v>93</v>
      </c>
      <c r="D13" s="8">
        <f>COUNTIFS(Hits!$A$2:$A$42,$A13,Hits!$F$2:$F$42,"Yes")</f>
        <v>0</v>
      </c>
      <c r="E13" s="8">
        <f>COUNTIFS(Hits!$A$2:$A$42,$A13,Hits!$F$2:$F$42,"No")</f>
        <v>1</v>
      </c>
      <c r="F13" s="10" t="s">
        <v>124</v>
      </c>
    </row>
    <row r="14" spans="1:6" x14ac:dyDescent="0.25">
      <c r="A14" s="8" t="s">
        <v>104</v>
      </c>
      <c r="B14" s="8" t="s">
        <v>101</v>
      </c>
      <c r="C14" s="8" t="s">
        <v>93</v>
      </c>
      <c r="D14" s="8">
        <f>COUNTIFS(Hits!$A$2:$A$42,$A14,Hits!$F$2:$F$42,"Yes")</f>
        <v>1</v>
      </c>
      <c r="E14" s="8">
        <f>COUNTIFS(Hits!$A$2:$A$42,$A14,Hits!$F$2:$F$42,"No")</f>
        <v>0</v>
      </c>
      <c r="F14" s="10" t="s">
        <v>105</v>
      </c>
    </row>
    <row r="15" spans="1:6" x14ac:dyDescent="0.25">
      <c r="A15" s="8" t="s">
        <v>107</v>
      </c>
      <c r="B15" s="8" t="s">
        <v>101</v>
      </c>
      <c r="C15" s="8" t="s">
        <v>93</v>
      </c>
      <c r="D15" s="8">
        <f>COUNTIFS(Hits!$A$2:$A$42,$A15,Hits!$F$2:$F$42,"Yes")</f>
        <v>1</v>
      </c>
      <c r="E15" s="8">
        <f>COUNTIFS(Hits!$A$2:$A$42,$A15,Hits!$F$2:$F$42,"No")</f>
        <v>3</v>
      </c>
      <c r="F15" s="10" t="s">
        <v>63</v>
      </c>
    </row>
    <row r="16" spans="1:6" x14ac:dyDescent="0.25">
      <c r="A16" s="8" t="s">
        <v>110</v>
      </c>
      <c r="B16" s="8" t="s">
        <v>83</v>
      </c>
      <c r="C16" s="8" t="s">
        <v>93</v>
      </c>
      <c r="D16" s="8">
        <f>COUNTIFS(Hits!$A$2:$A$42,$A16,Hits!$F$2:$F$42,"Yes")</f>
        <v>1</v>
      </c>
      <c r="E16" s="8">
        <f>COUNTIFS(Hits!$A$2:$A$42,$A16,Hits!$F$2:$F$42,"No")</f>
        <v>0</v>
      </c>
      <c r="F16" s="10" t="s">
        <v>45</v>
      </c>
    </row>
    <row r="17" spans="1:6" x14ac:dyDescent="0.25">
      <c r="A17" s="8" t="s">
        <v>111</v>
      </c>
      <c r="B17" s="8" t="s">
        <v>83</v>
      </c>
      <c r="C17" s="8" t="s">
        <v>93</v>
      </c>
      <c r="D17" s="8">
        <f>COUNTIFS(Hits!$A$2:$A$42,$A17,Hits!$F$2:$F$42,"Yes")</f>
        <v>1</v>
      </c>
      <c r="E17" s="8">
        <f>COUNTIFS(Hits!$A$2:$A$42,$A17,Hits!$F$2:$F$42,"No")</f>
        <v>0</v>
      </c>
      <c r="F17" s="10" t="s">
        <v>52</v>
      </c>
    </row>
    <row r="18" spans="1:6" x14ac:dyDescent="0.25">
      <c r="A18" s="8" t="s">
        <v>112</v>
      </c>
      <c r="B18" s="8" t="s">
        <v>83</v>
      </c>
      <c r="C18" s="8" t="s">
        <v>93</v>
      </c>
      <c r="D18" s="8">
        <f>COUNTIFS(Hits!$A$2:$A$42,$A18,Hits!$F$2:$F$42,"Yes")</f>
        <v>1</v>
      </c>
      <c r="E18" s="8">
        <f>COUNTIFS(Hits!$A$2:$A$42,$A18,Hits!$F$2:$F$42,"No")</f>
        <v>0</v>
      </c>
      <c r="F18" s="10" t="s">
        <v>45</v>
      </c>
    </row>
    <row r="19" spans="1:6" x14ac:dyDescent="0.25">
      <c r="A19" s="8" t="s">
        <v>113</v>
      </c>
      <c r="B19" s="8" t="s">
        <v>83</v>
      </c>
      <c r="C19" s="8" t="s">
        <v>93</v>
      </c>
      <c r="D19" s="8">
        <f>COUNTIFS(Hits!$A$2:$A$42,$A19,Hits!$F$2:$F$42,"Yes")</f>
        <v>1</v>
      </c>
      <c r="E19" s="8">
        <f>COUNTIFS(Hits!$A$2:$A$42,$A19,Hits!$F$2:$F$42,"No")</f>
        <v>0</v>
      </c>
      <c r="F19" s="10" t="s">
        <v>45</v>
      </c>
    </row>
    <row r="20" spans="1:6" x14ac:dyDescent="0.25">
      <c r="A20" s="8" t="s">
        <v>114</v>
      </c>
      <c r="B20" s="8" t="s">
        <v>83</v>
      </c>
      <c r="C20" s="8" t="s">
        <v>93</v>
      </c>
      <c r="D20" s="8">
        <f>COUNTIFS(Hits!$A$2:$A$42,$A20,Hits!$F$2:$F$42,"Yes")</f>
        <v>1</v>
      </c>
      <c r="E20" s="8">
        <f>COUNTIFS(Hits!$A$2:$A$42,$A20,Hits!$F$2:$F$42,"No")</f>
        <v>0</v>
      </c>
      <c r="F20" s="10" t="s">
        <v>45</v>
      </c>
    </row>
    <row r="21" spans="1:6" x14ac:dyDescent="0.25">
      <c r="A21" s="8" t="s">
        <v>115</v>
      </c>
      <c r="B21" s="8" t="s">
        <v>83</v>
      </c>
      <c r="C21" s="8" t="s">
        <v>93</v>
      </c>
      <c r="D21" s="8">
        <f>COUNTIFS(Hits!$A$2:$A$42,$A21,Hits!$F$2:$F$42,"Yes")</f>
        <v>0</v>
      </c>
      <c r="E21" s="8">
        <f>COUNTIFS(Hits!$A$2:$A$42,$A21,Hits!$F$2:$F$42,"No")</f>
        <v>1</v>
      </c>
      <c r="F21" s="10" t="s">
        <v>124</v>
      </c>
    </row>
    <row r="22" spans="1:6" x14ac:dyDescent="0.25">
      <c r="A22" s="8" t="s">
        <v>116</v>
      </c>
      <c r="B22" s="8" t="s">
        <v>83</v>
      </c>
      <c r="C22" s="8" t="s">
        <v>93</v>
      </c>
      <c r="D22" s="8">
        <f>COUNTIFS(Hits!$A$2:$A$42,$A22,Hits!$F$2:$F$42,"Yes")</f>
        <v>1</v>
      </c>
      <c r="E22" s="8">
        <f>COUNTIFS(Hits!$A$2:$A$42,$A22,Hits!$F$2:$F$42,"No")</f>
        <v>0</v>
      </c>
      <c r="F22" s="10" t="s">
        <v>45</v>
      </c>
    </row>
  </sheetData>
  <autoFilter ref="A1:F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40" customWidth="1"/>
    <col min="3" max="3" width="16" customWidth="1"/>
    <col min="4" max="4" width="90" customWidth="1"/>
  </cols>
  <sheetData>
    <row r="1" spans="1:4" ht="25.5" x14ac:dyDescent="0.25">
      <c r="A1" s="7" t="s">
        <v>32</v>
      </c>
      <c r="B1" s="7" t="s">
        <v>33</v>
      </c>
      <c r="C1" s="7" t="s">
        <v>125</v>
      </c>
      <c r="D1" s="7" t="s">
        <v>126</v>
      </c>
    </row>
    <row r="2" spans="1:4" ht="38.25" x14ac:dyDescent="0.25">
      <c r="A2" s="8" t="s">
        <v>45</v>
      </c>
      <c r="B2" s="8" t="s">
        <v>46</v>
      </c>
      <c r="C2" s="8">
        <f>COUNTIFS(Hits!$D$2:$D$42,$A2,Hits!$F$2:$F$42,"Yes")</f>
        <v>8</v>
      </c>
      <c r="D2" s="10" t="s">
        <v>127</v>
      </c>
    </row>
    <row r="3" spans="1:4" x14ac:dyDescent="0.25">
      <c r="A3" s="8" t="s">
        <v>63</v>
      </c>
      <c r="B3" s="8" t="s">
        <v>64</v>
      </c>
      <c r="C3" s="8">
        <f>COUNTIFS(Hits!$D$2:$D$42,$A3,Hits!$F$2:$F$42,"Yes")</f>
        <v>3</v>
      </c>
      <c r="D3" s="10" t="s">
        <v>128</v>
      </c>
    </row>
    <row r="4" spans="1:4" x14ac:dyDescent="0.25">
      <c r="A4" s="8" t="s">
        <v>55</v>
      </c>
      <c r="B4" s="8" t="s">
        <v>56</v>
      </c>
      <c r="C4" s="8">
        <f>COUNTIFS(Hits!$D$2:$D$42,$A4,Hits!$F$2:$F$42,"Yes")</f>
        <v>2</v>
      </c>
      <c r="D4" s="10" t="s">
        <v>129</v>
      </c>
    </row>
    <row r="5" spans="1:4" x14ac:dyDescent="0.25">
      <c r="A5" s="8" t="s">
        <v>85</v>
      </c>
      <c r="B5" s="8" t="s">
        <v>86</v>
      </c>
      <c r="C5" s="8">
        <f>COUNTIFS(Hits!$D$2:$D$42,$A5,Hits!$F$2:$F$42,"Yes")</f>
        <v>2</v>
      </c>
      <c r="D5" s="10" t="s">
        <v>130</v>
      </c>
    </row>
    <row r="6" spans="1:4" x14ac:dyDescent="0.25">
      <c r="A6" s="8" t="s">
        <v>39</v>
      </c>
      <c r="B6" s="8" t="s">
        <v>40</v>
      </c>
      <c r="C6" s="8">
        <f>COUNTIFS(Hits!$D$2:$D$42,$A6,Hits!$F$2:$F$42,"Yes")</f>
        <v>2</v>
      </c>
      <c r="D6" s="10" t="s">
        <v>131</v>
      </c>
    </row>
    <row r="7" spans="1:4" x14ac:dyDescent="0.25">
      <c r="A7" s="8" t="s">
        <v>52</v>
      </c>
      <c r="B7" s="8" t="s">
        <v>53</v>
      </c>
      <c r="C7" s="8">
        <f>COUNTIFS(Hits!$D$2:$D$42,$A7,Hits!$F$2:$F$42,"Yes")</f>
        <v>2</v>
      </c>
      <c r="D7" s="10" t="s">
        <v>132</v>
      </c>
    </row>
    <row r="8" spans="1:4" x14ac:dyDescent="0.25">
      <c r="A8" s="8" t="s">
        <v>66</v>
      </c>
      <c r="B8" s="8" t="s">
        <v>67</v>
      </c>
      <c r="C8" s="8">
        <f>COUNTIFS(Hits!$D$2:$D$42,$A8,Hits!$F$2:$F$42,"Yes")</f>
        <v>1</v>
      </c>
      <c r="D8" s="10" t="s">
        <v>65</v>
      </c>
    </row>
    <row r="9" spans="1:4" x14ac:dyDescent="0.25">
      <c r="A9" s="8" t="s">
        <v>94</v>
      </c>
      <c r="B9" s="8" t="s">
        <v>95</v>
      </c>
      <c r="C9" s="8">
        <f>COUNTIFS(Hits!$D$2:$D$42,$A9,Hits!$F$2:$F$42,"Yes")</f>
        <v>1</v>
      </c>
      <c r="D9" s="10" t="s">
        <v>91</v>
      </c>
    </row>
    <row r="10" spans="1:4" x14ac:dyDescent="0.25">
      <c r="A10" s="8" t="s">
        <v>68</v>
      </c>
      <c r="B10" s="8" t="s">
        <v>69</v>
      </c>
      <c r="C10" s="8">
        <f>COUNTIFS(Hits!$D$2:$D$42,$A10,Hits!$F$2:$F$42,"Yes")</f>
        <v>1</v>
      </c>
      <c r="D10" s="10" t="s">
        <v>65</v>
      </c>
    </row>
    <row r="11" spans="1:4" x14ac:dyDescent="0.25">
      <c r="A11" s="8" t="s">
        <v>48</v>
      </c>
      <c r="B11" s="8" t="s">
        <v>49</v>
      </c>
      <c r="C11" s="8">
        <f>COUNTIFS(Hits!$D$2:$D$42,$A11,Hits!$F$2:$F$42,"Yes")</f>
        <v>1</v>
      </c>
      <c r="D11" s="10" t="s">
        <v>54</v>
      </c>
    </row>
    <row r="12" spans="1:4" x14ac:dyDescent="0.25">
      <c r="A12" s="8" t="s">
        <v>98</v>
      </c>
      <c r="B12" s="8" t="s">
        <v>99</v>
      </c>
      <c r="C12" s="8">
        <f>COUNTIFS(Hits!$D$2:$D$42,$A12,Hits!$F$2:$F$42,"Yes")</f>
        <v>1</v>
      </c>
      <c r="D12" s="10" t="s">
        <v>91</v>
      </c>
    </row>
    <row r="13" spans="1:4" x14ac:dyDescent="0.25">
      <c r="A13" s="8" t="s">
        <v>70</v>
      </c>
      <c r="B13" s="8" t="s">
        <v>71</v>
      </c>
      <c r="C13" s="8">
        <f>COUNTIFS(Hits!$D$2:$D$42,$A13,Hits!$F$2:$F$42,"Yes")</f>
        <v>1</v>
      </c>
      <c r="D13" s="10" t="s">
        <v>65</v>
      </c>
    </row>
    <row r="14" spans="1:4" x14ac:dyDescent="0.25">
      <c r="A14" s="8" t="s">
        <v>72</v>
      </c>
      <c r="B14" s="8" t="s">
        <v>73</v>
      </c>
      <c r="C14" s="8">
        <f>COUNTIFS(Hits!$D$2:$D$42,$A14,Hits!$F$2:$F$42,"Yes")</f>
        <v>1</v>
      </c>
      <c r="D14" s="10" t="s">
        <v>65</v>
      </c>
    </row>
    <row r="15" spans="1:4" x14ac:dyDescent="0.25">
      <c r="A15" s="8" t="s">
        <v>89</v>
      </c>
      <c r="B15" s="8" t="s">
        <v>90</v>
      </c>
      <c r="C15" s="8">
        <f>COUNTIFS(Hits!$D$2:$D$42,$A15,Hits!$F$2:$F$42,"Yes")</f>
        <v>1</v>
      </c>
      <c r="D15" s="10" t="s">
        <v>88</v>
      </c>
    </row>
    <row r="16" spans="1:4" x14ac:dyDescent="0.25">
      <c r="A16" s="8" t="s">
        <v>105</v>
      </c>
      <c r="B16" s="8" t="s">
        <v>106</v>
      </c>
      <c r="C16" s="8">
        <f>COUNTIFS(Hits!$D$2:$D$42,$A16,Hits!$F$2:$F$42,"Yes")</f>
        <v>1</v>
      </c>
      <c r="D16" s="10" t="s">
        <v>104</v>
      </c>
    </row>
    <row r="17" spans="1:4" x14ac:dyDescent="0.25">
      <c r="A17" s="8" t="s">
        <v>61</v>
      </c>
      <c r="B17" s="8" t="s">
        <v>62</v>
      </c>
      <c r="C17" s="8">
        <f>COUNTIFS(Hits!$D$2:$D$42,$A17,Hits!$F$2:$F$42,"Yes")</f>
        <v>1</v>
      </c>
      <c r="D17" s="10" t="s">
        <v>54</v>
      </c>
    </row>
    <row r="18" spans="1:4" x14ac:dyDescent="0.25">
      <c r="A18" s="8" t="s">
        <v>74</v>
      </c>
      <c r="B18" s="8" t="s">
        <v>75</v>
      </c>
      <c r="C18" s="8">
        <f>COUNTIFS(Hits!$D$2:$D$42,$A18,Hits!$F$2:$F$42,"Yes")</f>
        <v>1</v>
      </c>
      <c r="D18" s="10" t="s">
        <v>65</v>
      </c>
    </row>
    <row r="19" spans="1:4" x14ac:dyDescent="0.25">
      <c r="A19" s="8" t="s">
        <v>76</v>
      </c>
      <c r="B19" s="8" t="s">
        <v>77</v>
      </c>
      <c r="C19" s="8">
        <f>COUNTIFS(Hits!$D$2:$D$42,$A19,Hits!$F$2:$F$42,"Yes")</f>
        <v>1</v>
      </c>
      <c r="D19" s="10" t="s">
        <v>65</v>
      </c>
    </row>
    <row r="20" spans="1:4" x14ac:dyDescent="0.25">
      <c r="A20" s="8" t="s">
        <v>80</v>
      </c>
      <c r="B20" s="8" t="s">
        <v>81</v>
      </c>
      <c r="C20" s="8">
        <f>COUNTIFS(Hits!$D$2:$D$42,$A20,Hits!$F$2:$F$42,"Yes")</f>
        <v>1</v>
      </c>
      <c r="D20" s="10" t="s">
        <v>78</v>
      </c>
    </row>
    <row r="21" spans="1:4" x14ac:dyDescent="0.25">
      <c r="A21" s="8" t="s">
        <v>57</v>
      </c>
      <c r="B21" s="8" t="s">
        <v>58</v>
      </c>
      <c r="C21" s="8">
        <f>COUNTIFS(Hits!$D$2:$D$42,$A21,Hits!$F$2:$F$42,"Yes")</f>
        <v>0</v>
      </c>
      <c r="D21" s="10" t="s">
        <v>124</v>
      </c>
    </row>
    <row r="22" spans="1:4" x14ac:dyDescent="0.25">
      <c r="A22" s="8" t="s">
        <v>96</v>
      </c>
      <c r="B22" s="8" t="s">
        <v>97</v>
      </c>
      <c r="C22" s="8">
        <f>COUNTIFS(Hits!$D$2:$D$42,$A22,Hits!$F$2:$F$42,"Yes")</f>
        <v>0</v>
      </c>
      <c r="D22" s="10" t="s">
        <v>124</v>
      </c>
    </row>
    <row r="23" spans="1:4" x14ac:dyDescent="0.25">
      <c r="A23" s="8" t="s">
        <v>102</v>
      </c>
      <c r="B23" s="8" t="s">
        <v>103</v>
      </c>
      <c r="C23" s="8">
        <f>COUNTIFS(Hits!$D$2:$D$42,$A23,Hits!$F$2:$F$42,"Yes")</f>
        <v>0</v>
      </c>
      <c r="D23" s="10" t="s">
        <v>124</v>
      </c>
    </row>
    <row r="24" spans="1:4" x14ac:dyDescent="0.25">
      <c r="A24" s="8" t="s">
        <v>59</v>
      </c>
      <c r="B24" s="8" t="s">
        <v>60</v>
      </c>
      <c r="C24" s="8">
        <f>COUNTIFS(Hits!$D$2:$D$42,$A24,Hits!$F$2:$F$42,"Yes")</f>
        <v>0</v>
      </c>
      <c r="D24" s="10" t="s">
        <v>124</v>
      </c>
    </row>
    <row r="25" spans="1:4" x14ac:dyDescent="0.25">
      <c r="A25" s="8" t="s">
        <v>108</v>
      </c>
      <c r="B25" s="8" t="s">
        <v>109</v>
      </c>
      <c r="C25" s="8">
        <f>COUNTIFS(Hits!$D$2:$D$42,$A25,Hits!$F$2:$F$42,"Yes")</f>
        <v>0</v>
      </c>
      <c r="D25" s="10" t="s">
        <v>124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34" customWidth="1"/>
    <col min="3" max="3" width="11" customWidth="1"/>
    <col min="4" max="4" width="13" customWidth="1"/>
    <col min="5" max="5" width="36" customWidth="1"/>
    <col min="6" max="6" width="70" customWidth="1"/>
  </cols>
  <sheetData>
    <row r="1" spans="1:6" ht="15.75" x14ac:dyDescent="0.25">
      <c r="A1" s="11" t="s">
        <v>133</v>
      </c>
    </row>
    <row r="3" spans="1:6" ht="25.5" x14ac:dyDescent="0.25">
      <c r="A3" s="7" t="s">
        <v>134</v>
      </c>
      <c r="B3" s="7" t="s">
        <v>135</v>
      </c>
      <c r="C3" s="7" t="s">
        <v>136</v>
      </c>
      <c r="D3" s="7" t="s">
        <v>137</v>
      </c>
      <c r="E3" s="7" t="s">
        <v>138</v>
      </c>
      <c r="F3" s="7" t="s">
        <v>139</v>
      </c>
    </row>
    <row r="4" spans="1:6" ht="25.5" x14ac:dyDescent="0.25">
      <c r="A4" s="10" t="s">
        <v>63</v>
      </c>
      <c r="B4" s="10" t="s">
        <v>64</v>
      </c>
      <c r="C4" s="10" t="s">
        <v>140</v>
      </c>
      <c r="D4" s="10" t="s">
        <v>41</v>
      </c>
      <c r="E4" s="12" t="s">
        <v>141</v>
      </c>
      <c r="F4" s="10" t="s">
        <v>142</v>
      </c>
    </row>
    <row r="5" spans="1:6" x14ac:dyDescent="0.25">
      <c r="A5" s="10" t="s">
        <v>98</v>
      </c>
      <c r="B5" s="10" t="s">
        <v>99</v>
      </c>
      <c r="C5" s="10" t="s">
        <v>140</v>
      </c>
      <c r="D5" s="10" t="s">
        <v>41</v>
      </c>
      <c r="E5" s="12" t="s">
        <v>141</v>
      </c>
      <c r="F5" s="10" t="s">
        <v>143</v>
      </c>
    </row>
    <row r="6" spans="1:6" ht="25.5" x14ac:dyDescent="0.25">
      <c r="A6" s="10" t="s">
        <v>45</v>
      </c>
      <c r="B6" s="10" t="s">
        <v>46</v>
      </c>
      <c r="C6" s="10" t="s">
        <v>140</v>
      </c>
      <c r="D6" s="10" t="s">
        <v>41</v>
      </c>
      <c r="E6" s="12" t="s">
        <v>141</v>
      </c>
      <c r="F6" s="10" t="s">
        <v>144</v>
      </c>
    </row>
    <row r="7" spans="1:6" x14ac:dyDescent="0.25">
      <c r="A7" s="10" t="s">
        <v>94</v>
      </c>
      <c r="B7" s="10" t="s">
        <v>95</v>
      </c>
      <c r="C7" s="10" t="s">
        <v>140</v>
      </c>
      <c r="D7" s="10" t="s">
        <v>41</v>
      </c>
      <c r="E7" s="12" t="s">
        <v>141</v>
      </c>
      <c r="F7" s="10" t="s">
        <v>145</v>
      </c>
    </row>
    <row r="8" spans="1:6" x14ac:dyDescent="0.25">
      <c r="A8" s="10" t="s">
        <v>146</v>
      </c>
      <c r="B8" s="10" t="s">
        <v>147</v>
      </c>
      <c r="C8" s="10" t="s">
        <v>148</v>
      </c>
      <c r="D8" s="10" t="s">
        <v>41</v>
      </c>
      <c r="E8" s="10" t="s">
        <v>149</v>
      </c>
      <c r="F8" s="10" t="s">
        <v>150</v>
      </c>
    </row>
    <row r="9" spans="1:6" x14ac:dyDescent="0.25">
      <c r="A9" s="10" t="s">
        <v>151</v>
      </c>
      <c r="B9" s="10" t="s">
        <v>152</v>
      </c>
      <c r="C9" s="10" t="s">
        <v>148</v>
      </c>
      <c r="D9" s="10" t="s">
        <v>41</v>
      </c>
      <c r="E9" s="10" t="s">
        <v>149</v>
      </c>
      <c r="F9" s="10" t="s">
        <v>153</v>
      </c>
    </row>
    <row r="10" spans="1:6" x14ac:dyDescent="0.25">
      <c r="A10" s="10" t="s">
        <v>154</v>
      </c>
      <c r="B10" s="10" t="s">
        <v>155</v>
      </c>
      <c r="C10" s="10" t="s">
        <v>148</v>
      </c>
      <c r="D10" s="10" t="s">
        <v>41</v>
      </c>
      <c r="E10" s="10" t="s">
        <v>149</v>
      </c>
      <c r="F10" s="10" t="s">
        <v>156</v>
      </c>
    </row>
    <row r="11" spans="1:6" x14ac:dyDescent="0.25">
      <c r="A11" s="10" t="s">
        <v>157</v>
      </c>
      <c r="B11" s="10" t="s">
        <v>158</v>
      </c>
      <c r="C11" s="10" t="s">
        <v>140</v>
      </c>
      <c r="D11" s="10" t="s">
        <v>41</v>
      </c>
      <c r="E11" s="12" t="s">
        <v>159</v>
      </c>
      <c r="F11" s="10" t="s">
        <v>160</v>
      </c>
    </row>
    <row r="12" spans="1:6" x14ac:dyDescent="0.25">
      <c r="A12" s="10" t="s">
        <v>161</v>
      </c>
      <c r="B12" s="10" t="s">
        <v>162</v>
      </c>
      <c r="C12" s="10" t="s">
        <v>140</v>
      </c>
      <c r="D12" s="10" t="s">
        <v>41</v>
      </c>
      <c r="E12" s="12" t="s">
        <v>159</v>
      </c>
      <c r="F12" s="10" t="s">
        <v>163</v>
      </c>
    </row>
    <row r="13" spans="1:6" ht="25.5" x14ac:dyDescent="0.25">
      <c r="A13" s="10" t="s">
        <v>164</v>
      </c>
      <c r="B13" s="10" t="s">
        <v>165</v>
      </c>
      <c r="C13" s="10" t="s">
        <v>148</v>
      </c>
      <c r="D13" s="10" t="s">
        <v>50</v>
      </c>
      <c r="E13" s="10" t="s">
        <v>149</v>
      </c>
      <c r="F13" s="10" t="s">
        <v>166</v>
      </c>
    </row>
    <row r="14" spans="1:6" ht="25.5" x14ac:dyDescent="0.25">
      <c r="A14" s="10" t="s">
        <v>167</v>
      </c>
      <c r="B14" s="10" t="s">
        <v>168</v>
      </c>
      <c r="C14" s="10" t="s">
        <v>140</v>
      </c>
      <c r="D14" s="10" t="s">
        <v>50</v>
      </c>
      <c r="E14" s="12" t="s">
        <v>169</v>
      </c>
      <c r="F14" s="10" t="s">
        <v>170</v>
      </c>
    </row>
    <row r="16" spans="1:6" x14ac:dyDescent="0.25">
      <c r="A16" s="3" t="s">
        <v>171</v>
      </c>
    </row>
    <row r="17" spans="1:6" ht="42" customHeight="1" x14ac:dyDescent="0.25">
      <c r="A17" s="13" t="s">
        <v>172</v>
      </c>
      <c r="B17" s="14"/>
      <c r="C17" s="14"/>
      <c r="D17" s="14"/>
      <c r="E17" s="14"/>
      <c r="F17" s="14"/>
    </row>
    <row r="18" spans="1:6" ht="42" customHeight="1" x14ac:dyDescent="0.25">
      <c r="A18" s="13" t="s">
        <v>173</v>
      </c>
      <c r="B18" s="14"/>
      <c r="C18" s="14"/>
      <c r="D18" s="14"/>
      <c r="E18" s="14"/>
      <c r="F18" s="14"/>
    </row>
    <row r="19" spans="1:6" ht="42" customHeight="1" x14ac:dyDescent="0.25">
      <c r="A19" s="13" t="s">
        <v>174</v>
      </c>
      <c r="B19" s="14"/>
      <c r="C19" s="14"/>
      <c r="D19" s="14"/>
      <c r="E19" s="14"/>
      <c r="F19" s="14"/>
    </row>
    <row r="20" spans="1:6" ht="42" customHeight="1" x14ac:dyDescent="0.25">
      <c r="A20" s="13" t="s">
        <v>175</v>
      </c>
      <c r="B20" s="14"/>
      <c r="C20" s="14"/>
      <c r="D20" s="14"/>
      <c r="E20" s="14"/>
      <c r="F20" s="14"/>
    </row>
    <row r="21" spans="1:6" ht="42" customHeight="1" x14ac:dyDescent="0.25">
      <c r="A21" s="13" t="s">
        <v>176</v>
      </c>
      <c r="B21" s="14"/>
      <c r="C21" s="14"/>
      <c r="D21" s="14"/>
      <c r="E21" s="14"/>
      <c r="F21" s="14"/>
    </row>
    <row r="22" spans="1:6" ht="42" customHeight="1" x14ac:dyDescent="0.25">
      <c r="A22" s="13" t="s">
        <v>177</v>
      </c>
      <c r="B22" s="14"/>
      <c r="C22" s="14"/>
      <c r="D22" s="14"/>
      <c r="E22" s="14"/>
      <c r="F22" s="14"/>
    </row>
  </sheetData>
  <mergeCells count="6">
    <mergeCell ref="A19:F19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Hits</vt:lpstr>
      <vt:lpstr>By Object</vt:lpstr>
      <vt:lpstr>By User</vt:lpstr>
      <vt:lpstr>Product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Goldyn</cp:lastModifiedBy>
  <dcterms:created xsi:type="dcterms:W3CDTF">2026-10-02T21:44:10Z</dcterms:created>
  <dcterms:modified xsi:type="dcterms:W3CDTF">2026-10-02T21:44:27Z</dcterms:modified>
</cp:coreProperties>
</file>